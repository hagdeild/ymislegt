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VR\Umsagnir\Fjárlög 2026\gogn\"/>
    </mc:Choice>
  </mc:AlternateContent>
  <xr:revisionPtr revIDLastSave="0" documentId="8_{2F5D6161-B524-4BA5-A88B-C0AF7E9299A1}" xr6:coauthVersionLast="47" xr6:coauthVersionMax="47" xr10:uidLastSave="{00000000-0000-0000-0000-000000000000}"/>
  <bookViews>
    <workbookView xWindow="38280" yWindow="-120" windowWidth="38640" windowHeight="21120" activeTab="1" xr2:uid="{66F74E57-560F-4340-A6D1-AC311C3B2E7B}"/>
  </bookViews>
  <sheets>
    <sheet name="husnaedi" sheetId="1" r:id="rId1"/>
    <sheet name="barnabaetu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E27" i="2"/>
  <c r="E2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tc={89AFBCB9-08DA-4551-A3E7-60FC6B385C6A}</author>
    <author>tc={1301D6DC-8940-4D06-B3F3-B7AAB7FC0B0B}</author>
  </authors>
  <commentList>
    <comment ref="D27" authorId="0" shapeId="0" xr:uid="{89AFBCB9-08DA-4551-A3E7-60FC6B385C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Fylgirit fjárlaga 2025.pdf </t>
      </text>
    </comment>
    <comment ref="D28" authorId="1" shapeId="0" xr:uid="{1301D6DC-8940-4D06-B3F3-B7AAB7FC0B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Fylgirit fjárlaga 2025.pdf </t>
      </text>
    </comment>
  </commentList>
</comments>
</file>

<file path=xl/sharedStrings.xml><?xml version="1.0" encoding="utf-8"?>
<sst xmlns="http://schemas.openxmlformats.org/spreadsheetml/2006/main" count="35" uniqueCount="11">
  <si>
    <t>Verðvísitala íbúðarhúsnæðis/Launavísitala</t>
  </si>
  <si>
    <t>Verðvísitala íbúðarhúsnæðis/Vísitala leiguverðs</t>
  </si>
  <si>
    <t>date</t>
  </si>
  <si>
    <t>Barnabætur</t>
  </si>
  <si>
    <t>Vaxtabætur</t>
  </si>
  <si>
    <t>CPI</t>
  </si>
  <si>
    <t>Reikningur</t>
  </si>
  <si>
    <t>Fjárlög</t>
  </si>
  <si>
    <t>Frumvarp</t>
  </si>
  <si>
    <t>heimild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</si>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</sst>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4">
    <xf numFmtId="0" fontId="0" fillId="0" borderId="0" xfId="0"/>
    <xf numFmtId="17" fontId="0" fillId="0" borderId="0" xfId="0" applyNumberFormat="1"/>
    <xf numFmtId="3" fontId="0" fillId="0" borderId="0" xfId="0" applyNumberFormat="1"/>
    <xf numFmtId="168" fontId="1" fillId="0" borderId="0" xfId="1" applyNumberFormat="1"/>
  </cellXfs>
  <cellStyles count="2">
    <cellStyle name="Normal" xfId="0" builtinId="0"/>
    <cellStyle name="Normal 2" xfId="1" xr:uid="{BD6478C6-173E-4C9C-A952-99E7BBC4A3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ðar Ingason" id="{BF5F6009-F9EA-4EDE-BC2C-EAD76DEF6A52}" userId="S::vidar@vr.is::0470837b-bd2e-4b9f-be10-2e09de9f8e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5-09-24T14:28:57.05" personId="{BF5F6009-F9EA-4EDE-BC2C-EAD76DEF6A52}" id="{89AFBCB9-08DA-4551-A3E7-60FC6B385C6A}">
    <text xml:space="preserve">Fylgirit fjárlaga 2025.pdf </text>
    <extLst>
      <x:ext xmlns:xltc2="http://schemas.microsoft.com/office/spreadsheetml/2020/threadedcomments2" uri="{F7C98A9C-CBB3-438F-8F68-D28B6AF4A901}">
        <xltc2:checksum>3970401169</xltc2:checksum>
        <xltc2:hyperlink startIndex="0" length="26" url="https://www.stjornarradid.is/library/03-Verkefni/Efnahagsmal-og-opinber-fjarmal/Fjarlagafrumvarp-fyrir-2025/Greinargerdir/Fylgirit%20fj%c3%a1rlaga%202025.pdf"/>
      </x:ext>
    </extLst>
  </threadedComment>
  <threadedComment ref="D28" dT="2025-09-24T14:29:00.82" personId="{BF5F6009-F9EA-4EDE-BC2C-EAD76DEF6A52}" id="{1301D6DC-8940-4D06-B3F3-B7AAB7FC0B0B}">
    <text xml:space="preserve">Fylgirit fjárlaga 2025.pdf </text>
    <extLst>
      <x:ext xmlns:xltc2="http://schemas.microsoft.com/office/spreadsheetml/2020/threadedcomments2" uri="{F7C98A9C-CBB3-438F-8F68-D28B6AF4A901}">
        <xltc2:checksum>3970401169</xltc2:checksum>
        <xltc2:hyperlink startIndex="0" length="26" url="https://www.stjornarradid.is/library/03-Verkefni/Efnahagsmal-og-opinber-fjarmal/Fjarlagafrumvarp-fyrir-2025/Greinargerdir/Fylgirit%20fj%c3%a1rlaga%202025.pdf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CB32-A992-4860-BC0D-A15D2E436F5C}">
  <dimension ref="A1:C309"/>
  <sheetViews>
    <sheetView workbookViewId="0">
      <selection activeCell="B6" sqref="B6"/>
    </sheetView>
  </sheetViews>
  <sheetFormatPr defaultRowHeight="15" x14ac:dyDescent="0.25"/>
  <cols>
    <col min="1" max="1" width="10.42578125" bestFit="1" customWidth="1"/>
    <col min="2" max="2" width="40.140625" bestFit="1" customWidth="1"/>
    <col min="3" max="3" width="44.5703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36526</v>
      </c>
      <c r="B2">
        <v>89.37</v>
      </c>
    </row>
    <row r="3" spans="1:3" x14ac:dyDescent="0.25">
      <c r="A3" s="1">
        <v>36557</v>
      </c>
      <c r="B3">
        <v>92.42</v>
      </c>
    </row>
    <row r="4" spans="1:3" x14ac:dyDescent="0.25">
      <c r="A4" s="1">
        <v>36586</v>
      </c>
      <c r="B4">
        <v>92.27</v>
      </c>
    </row>
    <row r="5" spans="1:3" x14ac:dyDescent="0.25">
      <c r="A5" s="1">
        <v>36617</v>
      </c>
      <c r="B5">
        <v>92.14</v>
      </c>
    </row>
    <row r="6" spans="1:3" x14ac:dyDescent="0.25">
      <c r="A6" s="1">
        <v>36647</v>
      </c>
      <c r="B6">
        <v>91.05</v>
      </c>
    </row>
    <row r="7" spans="1:3" x14ac:dyDescent="0.25">
      <c r="A7" s="1">
        <v>36678</v>
      </c>
      <c r="B7">
        <v>91.39</v>
      </c>
    </row>
    <row r="8" spans="1:3" x14ac:dyDescent="0.25">
      <c r="A8" s="1">
        <v>36708</v>
      </c>
      <c r="B8">
        <v>91.96</v>
      </c>
    </row>
    <row r="9" spans="1:3" x14ac:dyDescent="0.25">
      <c r="A9" s="1">
        <v>36739</v>
      </c>
      <c r="B9">
        <v>92.95</v>
      </c>
    </row>
    <row r="10" spans="1:3" x14ac:dyDescent="0.25">
      <c r="A10" s="1">
        <v>36770</v>
      </c>
      <c r="B10">
        <v>93.3</v>
      </c>
    </row>
    <row r="11" spans="1:3" x14ac:dyDescent="0.25">
      <c r="A11" s="1">
        <v>36800</v>
      </c>
      <c r="B11">
        <v>92.67</v>
      </c>
    </row>
    <row r="12" spans="1:3" x14ac:dyDescent="0.25">
      <c r="A12" s="1">
        <v>36831</v>
      </c>
      <c r="B12">
        <v>94.93</v>
      </c>
    </row>
    <row r="13" spans="1:3" x14ac:dyDescent="0.25">
      <c r="A13" s="1">
        <v>36861</v>
      </c>
      <c r="B13">
        <v>94.83</v>
      </c>
    </row>
    <row r="14" spans="1:3" x14ac:dyDescent="0.25">
      <c r="A14" s="1">
        <v>36892</v>
      </c>
      <c r="B14">
        <v>91.09</v>
      </c>
    </row>
    <row r="15" spans="1:3" x14ac:dyDescent="0.25">
      <c r="A15" s="1">
        <v>36923</v>
      </c>
      <c r="B15">
        <v>93.89</v>
      </c>
    </row>
    <row r="16" spans="1:3" x14ac:dyDescent="0.25">
      <c r="A16" s="1">
        <v>36951</v>
      </c>
      <c r="B16">
        <v>92.59</v>
      </c>
    </row>
    <row r="17" spans="1:2" x14ac:dyDescent="0.25">
      <c r="A17" s="1">
        <v>36982</v>
      </c>
      <c r="B17">
        <v>92.92</v>
      </c>
    </row>
    <row r="18" spans="1:2" x14ac:dyDescent="0.25">
      <c r="A18" s="1">
        <v>37012</v>
      </c>
      <c r="B18">
        <v>89.71</v>
      </c>
    </row>
    <row r="19" spans="1:2" x14ac:dyDescent="0.25">
      <c r="A19" s="1">
        <v>37043</v>
      </c>
      <c r="B19">
        <v>90.83</v>
      </c>
    </row>
    <row r="20" spans="1:2" x14ac:dyDescent="0.25">
      <c r="A20" s="1">
        <v>37073</v>
      </c>
      <c r="B20">
        <v>90.12</v>
      </c>
    </row>
    <row r="21" spans="1:2" x14ac:dyDescent="0.25">
      <c r="A21" s="1">
        <v>37104</v>
      </c>
      <c r="B21">
        <v>88.02</v>
      </c>
    </row>
    <row r="22" spans="1:2" x14ac:dyDescent="0.25">
      <c r="A22" s="1">
        <v>37135</v>
      </c>
      <c r="B22">
        <v>88</v>
      </c>
    </row>
    <row r="23" spans="1:2" x14ac:dyDescent="0.25">
      <c r="A23" s="1">
        <v>37165</v>
      </c>
      <c r="B23">
        <v>88.71</v>
      </c>
    </row>
    <row r="24" spans="1:2" x14ac:dyDescent="0.25">
      <c r="A24" s="1">
        <v>37196</v>
      </c>
      <c r="B24">
        <v>88.95</v>
      </c>
    </row>
    <row r="25" spans="1:2" x14ac:dyDescent="0.25">
      <c r="A25" s="1">
        <v>37226</v>
      </c>
      <c r="B25">
        <v>89.19</v>
      </c>
    </row>
    <row r="26" spans="1:2" x14ac:dyDescent="0.25">
      <c r="A26" s="1">
        <v>37257</v>
      </c>
      <c r="B26">
        <v>86.73</v>
      </c>
    </row>
    <row r="27" spans="1:2" x14ac:dyDescent="0.25">
      <c r="A27" s="1">
        <v>37288</v>
      </c>
      <c r="B27">
        <v>87.33</v>
      </c>
    </row>
    <row r="28" spans="1:2" x14ac:dyDescent="0.25">
      <c r="A28" s="1">
        <v>37316</v>
      </c>
      <c r="B28">
        <v>87.47</v>
      </c>
    </row>
    <row r="29" spans="1:2" x14ac:dyDescent="0.25">
      <c r="A29" s="1">
        <v>37347</v>
      </c>
      <c r="B29">
        <v>85.87</v>
      </c>
    </row>
    <row r="30" spans="1:2" x14ac:dyDescent="0.25">
      <c r="A30" s="1">
        <v>37377</v>
      </c>
      <c r="B30">
        <v>87.89</v>
      </c>
    </row>
    <row r="31" spans="1:2" x14ac:dyDescent="0.25">
      <c r="A31" s="1">
        <v>37408</v>
      </c>
      <c r="B31">
        <v>86.64</v>
      </c>
    </row>
    <row r="32" spans="1:2" x14ac:dyDescent="0.25">
      <c r="A32" s="1">
        <v>37438</v>
      </c>
      <c r="B32">
        <v>87.67</v>
      </c>
    </row>
    <row r="33" spans="1:2" x14ac:dyDescent="0.25">
      <c r="A33" s="1">
        <v>37469</v>
      </c>
      <c r="B33">
        <v>88.09</v>
      </c>
    </row>
    <row r="34" spans="1:2" x14ac:dyDescent="0.25">
      <c r="A34" s="1">
        <v>37500</v>
      </c>
      <c r="B34">
        <v>88.84</v>
      </c>
    </row>
    <row r="35" spans="1:2" x14ac:dyDescent="0.25">
      <c r="A35" s="1">
        <v>37530</v>
      </c>
      <c r="B35">
        <v>90.28</v>
      </c>
    </row>
    <row r="36" spans="1:2" x14ac:dyDescent="0.25">
      <c r="A36" s="1">
        <v>37561</v>
      </c>
      <c r="B36">
        <v>90.58</v>
      </c>
    </row>
    <row r="37" spans="1:2" x14ac:dyDescent="0.25">
      <c r="A37" s="1">
        <v>37591</v>
      </c>
      <c r="B37">
        <v>91</v>
      </c>
    </row>
    <row r="38" spans="1:2" x14ac:dyDescent="0.25">
      <c r="A38" s="1">
        <v>37622</v>
      </c>
      <c r="B38">
        <v>89.62</v>
      </c>
    </row>
    <row r="39" spans="1:2" x14ac:dyDescent="0.25">
      <c r="A39" s="1">
        <v>37653</v>
      </c>
      <c r="B39">
        <v>90.07</v>
      </c>
    </row>
    <row r="40" spans="1:2" x14ac:dyDescent="0.25">
      <c r="A40" s="1">
        <v>37681</v>
      </c>
      <c r="B40">
        <v>91.7</v>
      </c>
    </row>
    <row r="41" spans="1:2" x14ac:dyDescent="0.25">
      <c r="A41" s="1">
        <v>37712</v>
      </c>
      <c r="B41">
        <v>90.72</v>
      </c>
    </row>
    <row r="42" spans="1:2" x14ac:dyDescent="0.25">
      <c r="A42" s="1">
        <v>37742</v>
      </c>
      <c r="B42">
        <v>92.69</v>
      </c>
    </row>
    <row r="43" spans="1:2" x14ac:dyDescent="0.25">
      <c r="A43" s="1">
        <v>37773</v>
      </c>
      <c r="B43">
        <v>94.18</v>
      </c>
    </row>
    <row r="44" spans="1:2" x14ac:dyDescent="0.25">
      <c r="A44" s="1">
        <v>37803</v>
      </c>
      <c r="B44">
        <v>94.54</v>
      </c>
    </row>
    <row r="45" spans="1:2" x14ac:dyDescent="0.25">
      <c r="A45" s="1">
        <v>37834</v>
      </c>
      <c r="B45">
        <v>95.78</v>
      </c>
    </row>
    <row r="46" spans="1:2" x14ac:dyDescent="0.25">
      <c r="A46" s="1">
        <v>37865</v>
      </c>
      <c r="B46">
        <v>94.72</v>
      </c>
    </row>
    <row r="47" spans="1:2" x14ac:dyDescent="0.25">
      <c r="A47" s="1">
        <v>37895</v>
      </c>
      <c r="B47">
        <v>96.19</v>
      </c>
    </row>
    <row r="48" spans="1:2" x14ac:dyDescent="0.25">
      <c r="A48" s="1">
        <v>37926</v>
      </c>
      <c r="B48">
        <v>96.7</v>
      </c>
    </row>
    <row r="49" spans="1:2" x14ac:dyDescent="0.25">
      <c r="A49" s="1">
        <v>37956</v>
      </c>
      <c r="B49">
        <v>94.18</v>
      </c>
    </row>
    <row r="50" spans="1:2" x14ac:dyDescent="0.25">
      <c r="A50" s="1">
        <v>37987</v>
      </c>
      <c r="B50">
        <v>93.96</v>
      </c>
    </row>
    <row r="51" spans="1:2" x14ac:dyDescent="0.25">
      <c r="A51" s="1">
        <v>38018</v>
      </c>
      <c r="B51">
        <v>95.21</v>
      </c>
    </row>
    <row r="52" spans="1:2" x14ac:dyDescent="0.25">
      <c r="A52" s="1">
        <v>38047</v>
      </c>
      <c r="B52">
        <v>96.91</v>
      </c>
    </row>
    <row r="53" spans="1:2" x14ac:dyDescent="0.25">
      <c r="A53" s="1">
        <v>38078</v>
      </c>
      <c r="B53">
        <v>98.97</v>
      </c>
    </row>
    <row r="54" spans="1:2" x14ac:dyDescent="0.25">
      <c r="A54" s="1">
        <v>38108</v>
      </c>
      <c r="B54">
        <v>98.73</v>
      </c>
    </row>
    <row r="55" spans="1:2" x14ac:dyDescent="0.25">
      <c r="A55" s="1">
        <v>38139</v>
      </c>
      <c r="B55">
        <v>98.5</v>
      </c>
    </row>
    <row r="56" spans="1:2" x14ac:dyDescent="0.25">
      <c r="A56" s="1">
        <v>38169</v>
      </c>
      <c r="B56">
        <v>101.28</v>
      </c>
    </row>
    <row r="57" spans="1:2" x14ac:dyDescent="0.25">
      <c r="A57" s="1">
        <v>38200</v>
      </c>
      <c r="B57">
        <v>99.75</v>
      </c>
    </row>
    <row r="58" spans="1:2" x14ac:dyDescent="0.25">
      <c r="A58" s="1">
        <v>38231</v>
      </c>
      <c r="B58">
        <v>102.88</v>
      </c>
    </row>
    <row r="59" spans="1:2" x14ac:dyDescent="0.25">
      <c r="A59" s="1">
        <v>38261</v>
      </c>
      <c r="B59">
        <v>103.89</v>
      </c>
    </row>
    <row r="60" spans="1:2" x14ac:dyDescent="0.25">
      <c r="A60" s="1">
        <v>38292</v>
      </c>
      <c r="B60">
        <v>107.61</v>
      </c>
    </row>
    <row r="61" spans="1:2" x14ac:dyDescent="0.25">
      <c r="A61" s="1">
        <v>38322</v>
      </c>
      <c r="B61">
        <v>109.55</v>
      </c>
    </row>
    <row r="62" spans="1:2" x14ac:dyDescent="0.25">
      <c r="A62" s="1">
        <v>38353</v>
      </c>
      <c r="B62">
        <v>112.68</v>
      </c>
    </row>
    <row r="63" spans="1:2" x14ac:dyDescent="0.25">
      <c r="A63" s="1">
        <v>38384</v>
      </c>
      <c r="B63">
        <v>117.91</v>
      </c>
    </row>
    <row r="64" spans="1:2" x14ac:dyDescent="0.25">
      <c r="A64" s="1">
        <v>38412</v>
      </c>
      <c r="B64">
        <v>120.28</v>
      </c>
    </row>
    <row r="65" spans="1:2" x14ac:dyDescent="0.25">
      <c r="A65" s="1">
        <v>38443</v>
      </c>
      <c r="B65">
        <v>124.35</v>
      </c>
    </row>
    <row r="66" spans="1:2" x14ac:dyDescent="0.25">
      <c r="A66" s="1">
        <v>38473</v>
      </c>
      <c r="B66">
        <v>128.28</v>
      </c>
    </row>
    <row r="67" spans="1:2" x14ac:dyDescent="0.25">
      <c r="A67" s="1">
        <v>38504</v>
      </c>
      <c r="B67">
        <v>128.6</v>
      </c>
    </row>
    <row r="68" spans="1:2" x14ac:dyDescent="0.25">
      <c r="A68" s="1">
        <v>38534</v>
      </c>
      <c r="B68">
        <v>132.43</v>
      </c>
    </row>
    <row r="69" spans="1:2" x14ac:dyDescent="0.25">
      <c r="A69" s="1">
        <v>38565</v>
      </c>
      <c r="B69">
        <v>131.19999999999999</v>
      </c>
    </row>
    <row r="70" spans="1:2" x14ac:dyDescent="0.25">
      <c r="A70" s="1">
        <v>38596</v>
      </c>
      <c r="B70">
        <v>131.97</v>
      </c>
    </row>
    <row r="71" spans="1:2" x14ac:dyDescent="0.25">
      <c r="A71" s="1">
        <v>38626</v>
      </c>
      <c r="B71">
        <v>132.65</v>
      </c>
    </row>
    <row r="72" spans="1:2" x14ac:dyDescent="0.25">
      <c r="A72" s="1">
        <v>38657</v>
      </c>
      <c r="B72">
        <v>135.88</v>
      </c>
    </row>
    <row r="73" spans="1:2" x14ac:dyDescent="0.25">
      <c r="A73" s="1">
        <v>38687</v>
      </c>
      <c r="B73">
        <v>133.85</v>
      </c>
    </row>
    <row r="74" spans="1:2" x14ac:dyDescent="0.25">
      <c r="A74" s="1">
        <v>38718</v>
      </c>
      <c r="B74">
        <v>130.35</v>
      </c>
    </row>
    <row r="75" spans="1:2" x14ac:dyDescent="0.25">
      <c r="A75" s="1">
        <v>38749</v>
      </c>
      <c r="B75">
        <v>132.18</v>
      </c>
    </row>
    <row r="76" spans="1:2" x14ac:dyDescent="0.25">
      <c r="A76" s="1">
        <v>38777</v>
      </c>
      <c r="B76">
        <v>133.96</v>
      </c>
    </row>
    <row r="77" spans="1:2" x14ac:dyDescent="0.25">
      <c r="A77" s="1">
        <v>38808</v>
      </c>
      <c r="B77">
        <v>135.03</v>
      </c>
    </row>
    <row r="78" spans="1:2" x14ac:dyDescent="0.25">
      <c r="A78" s="1">
        <v>38838</v>
      </c>
      <c r="B78">
        <v>133.51</v>
      </c>
    </row>
    <row r="79" spans="1:2" x14ac:dyDescent="0.25">
      <c r="A79" s="1">
        <v>38869</v>
      </c>
      <c r="B79">
        <v>133.72999999999999</v>
      </c>
    </row>
    <row r="80" spans="1:2" x14ac:dyDescent="0.25">
      <c r="A80" s="1">
        <v>38899</v>
      </c>
      <c r="B80">
        <v>129.16999999999999</v>
      </c>
    </row>
    <row r="81" spans="1:2" x14ac:dyDescent="0.25">
      <c r="A81" s="1">
        <v>38930</v>
      </c>
      <c r="B81">
        <v>131.43</v>
      </c>
    </row>
    <row r="82" spans="1:2" x14ac:dyDescent="0.25">
      <c r="A82" s="1">
        <v>38961</v>
      </c>
      <c r="B82">
        <v>131.65</v>
      </c>
    </row>
    <row r="83" spans="1:2" x14ac:dyDescent="0.25">
      <c r="A83" s="1">
        <v>38991</v>
      </c>
      <c r="B83">
        <v>128.06</v>
      </c>
    </row>
    <row r="84" spans="1:2" x14ac:dyDescent="0.25">
      <c r="A84" s="1">
        <v>39022</v>
      </c>
      <c r="B84">
        <v>128.77000000000001</v>
      </c>
    </row>
    <row r="85" spans="1:2" x14ac:dyDescent="0.25">
      <c r="A85" s="1">
        <v>39052</v>
      </c>
      <c r="B85">
        <v>127.98</v>
      </c>
    </row>
    <row r="86" spans="1:2" x14ac:dyDescent="0.25">
      <c r="A86" s="1">
        <v>39083</v>
      </c>
      <c r="B86">
        <v>126.45</v>
      </c>
    </row>
    <row r="87" spans="1:2" x14ac:dyDescent="0.25">
      <c r="A87" s="1">
        <v>39114</v>
      </c>
      <c r="B87">
        <v>126.45</v>
      </c>
    </row>
    <row r="88" spans="1:2" x14ac:dyDescent="0.25">
      <c r="A88" s="1">
        <v>39142</v>
      </c>
      <c r="B88">
        <v>129.13</v>
      </c>
    </row>
    <row r="89" spans="1:2" x14ac:dyDescent="0.25">
      <c r="A89" s="1">
        <v>39173</v>
      </c>
      <c r="B89">
        <v>129.44</v>
      </c>
    </row>
    <row r="90" spans="1:2" x14ac:dyDescent="0.25">
      <c r="A90" s="1">
        <v>39203</v>
      </c>
      <c r="B90">
        <v>133.13999999999999</v>
      </c>
    </row>
    <row r="91" spans="1:2" x14ac:dyDescent="0.25">
      <c r="A91" s="1">
        <v>39234</v>
      </c>
      <c r="B91">
        <v>132.93</v>
      </c>
    </row>
    <row r="92" spans="1:2" x14ac:dyDescent="0.25">
      <c r="A92" s="1">
        <v>39264</v>
      </c>
      <c r="B92">
        <v>134.44</v>
      </c>
    </row>
    <row r="93" spans="1:2" x14ac:dyDescent="0.25">
      <c r="A93" s="1">
        <v>39295</v>
      </c>
      <c r="B93">
        <v>134.91999999999999</v>
      </c>
    </row>
    <row r="94" spans="1:2" x14ac:dyDescent="0.25">
      <c r="A94" s="1">
        <v>39326</v>
      </c>
      <c r="B94">
        <v>135.16999999999999</v>
      </c>
    </row>
    <row r="95" spans="1:2" x14ac:dyDescent="0.25">
      <c r="A95" s="1">
        <v>39356</v>
      </c>
      <c r="B95">
        <v>138.34</v>
      </c>
    </row>
    <row r="96" spans="1:2" x14ac:dyDescent="0.25">
      <c r="A96" s="1">
        <v>39387</v>
      </c>
      <c r="B96">
        <v>135.71</v>
      </c>
    </row>
    <row r="97" spans="1:2" x14ac:dyDescent="0.25">
      <c r="A97" s="1">
        <v>39417</v>
      </c>
      <c r="B97">
        <v>135.49</v>
      </c>
    </row>
    <row r="98" spans="1:2" x14ac:dyDescent="0.25">
      <c r="A98" s="1">
        <v>39448</v>
      </c>
      <c r="B98">
        <v>135.75</v>
      </c>
    </row>
    <row r="99" spans="1:2" x14ac:dyDescent="0.25">
      <c r="A99" s="1">
        <v>39479</v>
      </c>
      <c r="B99">
        <v>133.44</v>
      </c>
    </row>
    <row r="100" spans="1:2" x14ac:dyDescent="0.25">
      <c r="A100" s="1">
        <v>39508</v>
      </c>
      <c r="B100">
        <v>131.30000000000001</v>
      </c>
    </row>
    <row r="101" spans="1:2" x14ac:dyDescent="0.25">
      <c r="A101" s="1">
        <v>39539</v>
      </c>
      <c r="B101">
        <v>127.97</v>
      </c>
    </row>
    <row r="102" spans="1:2" x14ac:dyDescent="0.25">
      <c r="A102" s="1">
        <v>39569</v>
      </c>
      <c r="B102">
        <v>128.07</v>
      </c>
    </row>
    <row r="103" spans="1:2" x14ac:dyDescent="0.25">
      <c r="A103" s="1">
        <v>39600</v>
      </c>
      <c r="B103">
        <v>126.44</v>
      </c>
    </row>
    <row r="104" spans="1:2" x14ac:dyDescent="0.25">
      <c r="A104" s="1">
        <v>39630</v>
      </c>
      <c r="B104">
        <v>126.47</v>
      </c>
    </row>
    <row r="105" spans="1:2" x14ac:dyDescent="0.25">
      <c r="A105" s="1">
        <v>39661</v>
      </c>
      <c r="B105">
        <v>125.57</v>
      </c>
    </row>
    <row r="106" spans="1:2" x14ac:dyDescent="0.25">
      <c r="A106" s="1">
        <v>39692</v>
      </c>
      <c r="B106">
        <v>124.68</v>
      </c>
    </row>
    <row r="107" spans="1:2" x14ac:dyDescent="0.25">
      <c r="A107" s="1">
        <v>39722</v>
      </c>
      <c r="B107">
        <v>124.04</v>
      </c>
    </row>
    <row r="108" spans="1:2" x14ac:dyDescent="0.25">
      <c r="A108" s="1">
        <v>39753</v>
      </c>
      <c r="B108">
        <v>124.39</v>
      </c>
    </row>
    <row r="109" spans="1:2" x14ac:dyDescent="0.25">
      <c r="A109" s="1">
        <v>39783</v>
      </c>
      <c r="B109">
        <v>121.98</v>
      </c>
    </row>
    <row r="110" spans="1:2" x14ac:dyDescent="0.25">
      <c r="A110" s="1">
        <v>39814</v>
      </c>
      <c r="B110">
        <v>119.28</v>
      </c>
    </row>
    <row r="111" spans="1:2" x14ac:dyDescent="0.25">
      <c r="A111" s="1">
        <v>39845</v>
      </c>
      <c r="B111">
        <v>118.54</v>
      </c>
    </row>
    <row r="112" spans="1:2" x14ac:dyDescent="0.25">
      <c r="A112" s="1">
        <v>39873</v>
      </c>
      <c r="B112">
        <v>113.86</v>
      </c>
    </row>
    <row r="113" spans="1:2" x14ac:dyDescent="0.25">
      <c r="A113" s="1">
        <v>39904</v>
      </c>
      <c r="B113">
        <v>111.11</v>
      </c>
    </row>
    <row r="114" spans="1:2" x14ac:dyDescent="0.25">
      <c r="A114" s="1">
        <v>39934</v>
      </c>
      <c r="B114">
        <v>110.15</v>
      </c>
    </row>
    <row r="115" spans="1:2" x14ac:dyDescent="0.25">
      <c r="A115" s="1">
        <v>39965</v>
      </c>
      <c r="B115">
        <v>109.47</v>
      </c>
    </row>
    <row r="116" spans="1:2" x14ac:dyDescent="0.25">
      <c r="A116" s="1">
        <v>39995</v>
      </c>
      <c r="B116">
        <v>109.43</v>
      </c>
    </row>
    <row r="117" spans="1:2" x14ac:dyDescent="0.25">
      <c r="A117" s="1">
        <v>40026</v>
      </c>
      <c r="B117">
        <v>110.24</v>
      </c>
    </row>
    <row r="118" spans="1:2" x14ac:dyDescent="0.25">
      <c r="A118" s="1">
        <v>40057</v>
      </c>
      <c r="B118">
        <v>109.89</v>
      </c>
    </row>
    <row r="119" spans="1:2" x14ac:dyDescent="0.25">
      <c r="A119" s="1">
        <v>40087</v>
      </c>
      <c r="B119">
        <v>109.49</v>
      </c>
    </row>
    <row r="120" spans="1:2" x14ac:dyDescent="0.25">
      <c r="A120" s="1">
        <v>40118</v>
      </c>
      <c r="B120">
        <v>106.28</v>
      </c>
    </row>
    <row r="121" spans="1:2" x14ac:dyDescent="0.25">
      <c r="A121" s="1">
        <v>40148</v>
      </c>
      <c r="B121">
        <v>103.6</v>
      </c>
    </row>
    <row r="122" spans="1:2" x14ac:dyDescent="0.25">
      <c r="A122" s="1">
        <v>40179</v>
      </c>
      <c r="B122">
        <v>103.89</v>
      </c>
    </row>
    <row r="123" spans="1:2" x14ac:dyDescent="0.25">
      <c r="A123" s="1">
        <v>40210</v>
      </c>
      <c r="B123">
        <v>103.01</v>
      </c>
    </row>
    <row r="124" spans="1:2" x14ac:dyDescent="0.25">
      <c r="A124" s="1">
        <v>40238</v>
      </c>
      <c r="B124">
        <v>103.37</v>
      </c>
    </row>
    <row r="125" spans="1:2" x14ac:dyDescent="0.25">
      <c r="A125" s="1">
        <v>40269</v>
      </c>
      <c r="B125">
        <v>103.06</v>
      </c>
    </row>
    <row r="126" spans="1:2" x14ac:dyDescent="0.25">
      <c r="A126" s="1">
        <v>40299</v>
      </c>
      <c r="B126">
        <v>104.9</v>
      </c>
    </row>
    <row r="127" spans="1:2" x14ac:dyDescent="0.25">
      <c r="A127" s="1">
        <v>40330</v>
      </c>
      <c r="B127">
        <v>101.89</v>
      </c>
    </row>
    <row r="128" spans="1:2" x14ac:dyDescent="0.25">
      <c r="A128" s="1">
        <v>40360</v>
      </c>
      <c r="B128">
        <v>100.28</v>
      </c>
    </row>
    <row r="129" spans="1:3" x14ac:dyDescent="0.25">
      <c r="A129" s="1">
        <v>40391</v>
      </c>
      <c r="B129">
        <v>100.28</v>
      </c>
    </row>
    <row r="130" spans="1:3" x14ac:dyDescent="0.25">
      <c r="A130" s="1">
        <v>40422</v>
      </c>
      <c r="B130">
        <v>100.33</v>
      </c>
    </row>
    <row r="131" spans="1:3" x14ac:dyDescent="0.25">
      <c r="A131" s="1">
        <v>40452</v>
      </c>
      <c r="B131">
        <v>100.89</v>
      </c>
    </row>
    <row r="132" spans="1:3" x14ac:dyDescent="0.25">
      <c r="A132" s="1">
        <v>40483</v>
      </c>
      <c r="B132">
        <v>100.67</v>
      </c>
    </row>
    <row r="133" spans="1:3" x14ac:dyDescent="0.25">
      <c r="A133" s="1">
        <v>40513</v>
      </c>
      <c r="B133">
        <v>99.27</v>
      </c>
    </row>
    <row r="134" spans="1:3" x14ac:dyDescent="0.25">
      <c r="A134" s="1">
        <v>40544</v>
      </c>
      <c r="B134">
        <v>100</v>
      </c>
      <c r="C134">
        <v>100</v>
      </c>
    </row>
    <row r="135" spans="1:3" x14ac:dyDescent="0.25">
      <c r="A135" s="1">
        <v>40575</v>
      </c>
      <c r="B135">
        <v>100.87</v>
      </c>
      <c r="C135">
        <v>100.81</v>
      </c>
    </row>
    <row r="136" spans="1:3" x14ac:dyDescent="0.25">
      <c r="A136" s="1">
        <v>40603</v>
      </c>
      <c r="B136">
        <v>100.88</v>
      </c>
      <c r="C136">
        <v>99.96</v>
      </c>
    </row>
    <row r="137" spans="1:3" x14ac:dyDescent="0.25">
      <c r="A137" s="1">
        <v>40634</v>
      </c>
      <c r="B137">
        <v>101.46</v>
      </c>
      <c r="C137">
        <v>99.46</v>
      </c>
    </row>
    <row r="138" spans="1:3" x14ac:dyDescent="0.25">
      <c r="A138" s="1">
        <v>40664</v>
      </c>
      <c r="B138">
        <v>103.02</v>
      </c>
      <c r="C138">
        <v>100.23</v>
      </c>
    </row>
    <row r="139" spans="1:3" x14ac:dyDescent="0.25">
      <c r="A139" s="1">
        <v>40695</v>
      </c>
      <c r="B139">
        <v>99.68</v>
      </c>
      <c r="C139">
        <v>99.36</v>
      </c>
    </row>
    <row r="140" spans="1:3" x14ac:dyDescent="0.25">
      <c r="A140" s="1">
        <v>40725</v>
      </c>
      <c r="B140">
        <v>98.55</v>
      </c>
      <c r="C140">
        <v>99.69</v>
      </c>
    </row>
    <row r="141" spans="1:3" x14ac:dyDescent="0.25">
      <c r="A141" s="1">
        <v>40756</v>
      </c>
      <c r="B141">
        <v>98.72</v>
      </c>
      <c r="C141">
        <v>98.43</v>
      </c>
    </row>
    <row r="142" spans="1:3" x14ac:dyDescent="0.25">
      <c r="A142" s="1">
        <v>40787</v>
      </c>
      <c r="B142">
        <v>99.28</v>
      </c>
      <c r="C142">
        <v>99.07</v>
      </c>
    </row>
    <row r="143" spans="1:3" x14ac:dyDescent="0.25">
      <c r="A143" s="1">
        <v>40817</v>
      </c>
      <c r="B143">
        <v>99.62</v>
      </c>
      <c r="C143">
        <v>99.22</v>
      </c>
    </row>
    <row r="144" spans="1:3" x14ac:dyDescent="0.25">
      <c r="A144" s="1">
        <v>40848</v>
      </c>
      <c r="B144">
        <v>99.33</v>
      </c>
      <c r="C144">
        <v>97.71</v>
      </c>
    </row>
    <row r="145" spans="1:3" x14ac:dyDescent="0.25">
      <c r="A145" s="1">
        <v>40878</v>
      </c>
      <c r="B145">
        <v>99.93</v>
      </c>
      <c r="C145">
        <v>98.17</v>
      </c>
    </row>
    <row r="146" spans="1:3" x14ac:dyDescent="0.25">
      <c r="A146" s="1">
        <v>40909</v>
      </c>
      <c r="B146">
        <v>100.08</v>
      </c>
      <c r="C146">
        <v>98.32</v>
      </c>
    </row>
    <row r="147" spans="1:3" x14ac:dyDescent="0.25">
      <c r="A147" s="1">
        <v>40940</v>
      </c>
      <c r="B147">
        <v>97.75</v>
      </c>
      <c r="C147">
        <v>99.16</v>
      </c>
    </row>
    <row r="148" spans="1:3" x14ac:dyDescent="0.25">
      <c r="A148" s="1">
        <v>40969</v>
      </c>
      <c r="B148">
        <v>97.88</v>
      </c>
      <c r="C148">
        <v>98.2</v>
      </c>
    </row>
    <row r="149" spans="1:3" x14ac:dyDescent="0.25">
      <c r="A149" s="1">
        <v>41000</v>
      </c>
      <c r="B149">
        <v>97.68</v>
      </c>
      <c r="C149">
        <v>97.31</v>
      </c>
    </row>
    <row r="150" spans="1:3" x14ac:dyDescent="0.25">
      <c r="A150" s="1">
        <v>41030</v>
      </c>
      <c r="B150">
        <v>97.66</v>
      </c>
      <c r="C150">
        <v>99.32</v>
      </c>
    </row>
    <row r="151" spans="1:3" x14ac:dyDescent="0.25">
      <c r="A151" s="1">
        <v>41061</v>
      </c>
      <c r="B151">
        <v>99.04</v>
      </c>
      <c r="C151">
        <v>98.63</v>
      </c>
    </row>
    <row r="152" spans="1:3" x14ac:dyDescent="0.25">
      <c r="A152" s="1">
        <v>41091</v>
      </c>
      <c r="B152">
        <v>99.82</v>
      </c>
      <c r="C152">
        <v>96.43</v>
      </c>
    </row>
    <row r="153" spans="1:3" x14ac:dyDescent="0.25">
      <c r="A153" s="1">
        <v>41122</v>
      </c>
      <c r="B153">
        <v>99.54</v>
      </c>
      <c r="C153">
        <v>94.84</v>
      </c>
    </row>
    <row r="154" spans="1:3" x14ac:dyDescent="0.25">
      <c r="A154" s="1">
        <v>41153</v>
      </c>
      <c r="B154">
        <v>99.61</v>
      </c>
      <c r="C154">
        <v>95.47</v>
      </c>
    </row>
    <row r="155" spans="1:3" x14ac:dyDescent="0.25">
      <c r="A155" s="1">
        <v>41183</v>
      </c>
      <c r="B155">
        <v>100.36</v>
      </c>
      <c r="C155">
        <v>96.69</v>
      </c>
    </row>
    <row r="156" spans="1:3" x14ac:dyDescent="0.25">
      <c r="A156" s="1">
        <v>41214</v>
      </c>
      <c r="B156">
        <v>100.56</v>
      </c>
      <c r="C156">
        <v>96.49</v>
      </c>
    </row>
    <row r="157" spans="1:3" x14ac:dyDescent="0.25">
      <c r="A157" s="1">
        <v>41244</v>
      </c>
      <c r="B157">
        <v>100.99</v>
      </c>
      <c r="C157">
        <v>97.69</v>
      </c>
    </row>
    <row r="158" spans="1:3" x14ac:dyDescent="0.25">
      <c r="A158" s="1">
        <v>41275</v>
      </c>
      <c r="B158">
        <v>100.36</v>
      </c>
      <c r="C158">
        <v>96.82</v>
      </c>
    </row>
    <row r="159" spans="1:3" x14ac:dyDescent="0.25">
      <c r="A159" s="1">
        <v>41306</v>
      </c>
      <c r="B159">
        <v>98.3</v>
      </c>
      <c r="C159">
        <v>94.74</v>
      </c>
    </row>
    <row r="160" spans="1:3" x14ac:dyDescent="0.25">
      <c r="A160" s="1">
        <v>41334</v>
      </c>
      <c r="B160">
        <v>97.03</v>
      </c>
      <c r="C160">
        <v>94.18</v>
      </c>
    </row>
    <row r="161" spans="1:3" x14ac:dyDescent="0.25">
      <c r="A161" s="1">
        <v>41365</v>
      </c>
      <c r="B161">
        <v>97.43</v>
      </c>
      <c r="C161">
        <v>95.55</v>
      </c>
    </row>
    <row r="162" spans="1:3" x14ac:dyDescent="0.25">
      <c r="A162" s="1">
        <v>41395</v>
      </c>
      <c r="B162">
        <v>98.67</v>
      </c>
      <c r="C162">
        <v>95.65</v>
      </c>
    </row>
    <row r="163" spans="1:3" x14ac:dyDescent="0.25">
      <c r="A163" s="1">
        <v>41426</v>
      </c>
      <c r="B163">
        <v>100.18</v>
      </c>
      <c r="C163">
        <v>96.63</v>
      </c>
    </row>
    <row r="164" spans="1:3" x14ac:dyDescent="0.25">
      <c r="A164" s="1">
        <v>41456</v>
      </c>
      <c r="B164">
        <v>100.9</v>
      </c>
      <c r="C164">
        <v>95.59</v>
      </c>
    </row>
    <row r="165" spans="1:3" x14ac:dyDescent="0.25">
      <c r="A165" s="1">
        <v>41487</v>
      </c>
      <c r="B165">
        <v>100.52</v>
      </c>
      <c r="C165">
        <v>93.49</v>
      </c>
    </row>
    <row r="166" spans="1:3" x14ac:dyDescent="0.25">
      <c r="A166" s="1">
        <v>41518</v>
      </c>
      <c r="B166">
        <v>100.68</v>
      </c>
      <c r="C166">
        <v>93.46</v>
      </c>
    </row>
    <row r="167" spans="1:3" x14ac:dyDescent="0.25">
      <c r="A167" s="1">
        <v>41548</v>
      </c>
      <c r="B167">
        <v>102.1</v>
      </c>
      <c r="C167">
        <v>96.25</v>
      </c>
    </row>
    <row r="168" spans="1:3" x14ac:dyDescent="0.25">
      <c r="A168" s="1">
        <v>41579</v>
      </c>
      <c r="B168">
        <v>102.21</v>
      </c>
      <c r="C168">
        <v>95.68</v>
      </c>
    </row>
    <row r="169" spans="1:3" x14ac:dyDescent="0.25">
      <c r="A169" s="1">
        <v>41609</v>
      </c>
      <c r="B169">
        <v>101.81</v>
      </c>
      <c r="C169">
        <v>95.05</v>
      </c>
    </row>
    <row r="170" spans="1:3" x14ac:dyDescent="0.25">
      <c r="A170" s="1">
        <v>41640</v>
      </c>
      <c r="B170">
        <v>101.08</v>
      </c>
      <c r="C170">
        <v>95.86</v>
      </c>
    </row>
    <row r="171" spans="1:3" x14ac:dyDescent="0.25">
      <c r="A171" s="1">
        <v>41671</v>
      </c>
      <c r="B171">
        <v>102.09</v>
      </c>
      <c r="C171">
        <v>96.87</v>
      </c>
    </row>
    <row r="172" spans="1:3" x14ac:dyDescent="0.25">
      <c r="A172" s="1">
        <v>41699</v>
      </c>
      <c r="B172">
        <v>103.26</v>
      </c>
      <c r="C172">
        <v>96.64</v>
      </c>
    </row>
    <row r="173" spans="1:3" x14ac:dyDescent="0.25">
      <c r="A173" s="1">
        <v>41730</v>
      </c>
      <c r="B173">
        <v>103.35</v>
      </c>
      <c r="C173">
        <v>97.18</v>
      </c>
    </row>
    <row r="174" spans="1:3" x14ac:dyDescent="0.25">
      <c r="A174" s="1">
        <v>41760</v>
      </c>
      <c r="B174">
        <v>102.79</v>
      </c>
      <c r="C174">
        <v>96.7</v>
      </c>
    </row>
    <row r="175" spans="1:3" x14ac:dyDescent="0.25">
      <c r="A175" s="1">
        <v>41791</v>
      </c>
      <c r="B175">
        <v>101.47</v>
      </c>
      <c r="C175">
        <v>95.57</v>
      </c>
    </row>
    <row r="176" spans="1:3" x14ac:dyDescent="0.25">
      <c r="A176" s="1">
        <v>41821</v>
      </c>
      <c r="B176">
        <v>101.33</v>
      </c>
      <c r="C176">
        <v>93.16</v>
      </c>
    </row>
    <row r="177" spans="1:3" x14ac:dyDescent="0.25">
      <c r="A177" s="1">
        <v>41852</v>
      </c>
      <c r="B177">
        <v>103.35</v>
      </c>
      <c r="C177">
        <v>95.54</v>
      </c>
    </row>
    <row r="178" spans="1:3" x14ac:dyDescent="0.25">
      <c r="A178" s="1">
        <v>41883</v>
      </c>
      <c r="B178">
        <v>102.78</v>
      </c>
      <c r="C178">
        <v>94.97</v>
      </c>
    </row>
    <row r="179" spans="1:3" x14ac:dyDescent="0.25">
      <c r="A179" s="1">
        <v>41913</v>
      </c>
      <c r="B179">
        <v>102.09</v>
      </c>
      <c r="C179">
        <v>94.29</v>
      </c>
    </row>
    <row r="180" spans="1:3" x14ac:dyDescent="0.25">
      <c r="A180" s="1">
        <v>41944</v>
      </c>
      <c r="B180">
        <v>102.56</v>
      </c>
      <c r="C180">
        <v>94.57</v>
      </c>
    </row>
    <row r="181" spans="1:3" x14ac:dyDescent="0.25">
      <c r="A181" s="1">
        <v>41974</v>
      </c>
      <c r="B181">
        <v>104.67</v>
      </c>
      <c r="C181">
        <v>97</v>
      </c>
    </row>
    <row r="182" spans="1:3" x14ac:dyDescent="0.25">
      <c r="A182" s="1">
        <v>42005</v>
      </c>
      <c r="B182">
        <v>104.99</v>
      </c>
      <c r="C182">
        <v>97.99</v>
      </c>
    </row>
    <row r="183" spans="1:3" x14ac:dyDescent="0.25">
      <c r="A183" s="1">
        <v>42036</v>
      </c>
      <c r="B183">
        <v>106.28</v>
      </c>
      <c r="C183">
        <v>98.37</v>
      </c>
    </row>
    <row r="184" spans="1:3" x14ac:dyDescent="0.25">
      <c r="A184" s="1">
        <v>42064</v>
      </c>
      <c r="B184">
        <v>106.36</v>
      </c>
      <c r="C184">
        <v>97.2</v>
      </c>
    </row>
    <row r="185" spans="1:3" x14ac:dyDescent="0.25">
      <c r="A185" s="1">
        <v>42095</v>
      </c>
      <c r="B185">
        <v>105.87</v>
      </c>
      <c r="C185">
        <v>97.13</v>
      </c>
    </row>
    <row r="186" spans="1:3" x14ac:dyDescent="0.25">
      <c r="A186" s="1">
        <v>42125</v>
      </c>
      <c r="B186">
        <v>106.49</v>
      </c>
      <c r="C186">
        <v>96.88</v>
      </c>
    </row>
    <row r="187" spans="1:3" x14ac:dyDescent="0.25">
      <c r="A187" s="1">
        <v>42156</v>
      </c>
      <c r="B187">
        <v>104.15</v>
      </c>
      <c r="C187">
        <v>98.85</v>
      </c>
    </row>
    <row r="188" spans="1:3" x14ac:dyDescent="0.25">
      <c r="A188" s="1">
        <v>42186</v>
      </c>
      <c r="B188">
        <v>103.88</v>
      </c>
      <c r="C188">
        <v>101.1</v>
      </c>
    </row>
    <row r="189" spans="1:3" x14ac:dyDescent="0.25">
      <c r="A189" s="1">
        <v>42217</v>
      </c>
      <c r="B189">
        <v>103.79</v>
      </c>
      <c r="C189">
        <v>100.3</v>
      </c>
    </row>
    <row r="190" spans="1:3" x14ac:dyDescent="0.25">
      <c r="A190" s="1">
        <v>42248</v>
      </c>
      <c r="B190">
        <v>103.79</v>
      </c>
      <c r="C190">
        <v>101.16</v>
      </c>
    </row>
    <row r="191" spans="1:3" x14ac:dyDescent="0.25">
      <c r="A191" s="1">
        <v>42278</v>
      </c>
      <c r="B191">
        <v>104.05</v>
      </c>
      <c r="C191">
        <v>98.77</v>
      </c>
    </row>
    <row r="192" spans="1:3" x14ac:dyDescent="0.25">
      <c r="A192" s="1">
        <v>42309</v>
      </c>
      <c r="B192">
        <v>103.45</v>
      </c>
      <c r="C192">
        <v>98.25</v>
      </c>
    </row>
    <row r="193" spans="1:3" x14ac:dyDescent="0.25">
      <c r="A193" s="1">
        <v>42339</v>
      </c>
      <c r="B193">
        <v>103.87</v>
      </c>
      <c r="C193">
        <v>98.78</v>
      </c>
    </row>
    <row r="194" spans="1:3" x14ac:dyDescent="0.25">
      <c r="A194" s="1">
        <v>42370</v>
      </c>
      <c r="B194">
        <v>104.1</v>
      </c>
      <c r="C194">
        <v>101.55</v>
      </c>
    </row>
    <row r="195" spans="1:3" x14ac:dyDescent="0.25">
      <c r="A195" s="1">
        <v>42401</v>
      </c>
      <c r="B195">
        <v>100.99</v>
      </c>
      <c r="C195">
        <v>100.79</v>
      </c>
    </row>
    <row r="196" spans="1:3" x14ac:dyDescent="0.25">
      <c r="A196" s="1">
        <v>42430</v>
      </c>
      <c r="B196">
        <v>100.87</v>
      </c>
      <c r="C196">
        <v>98.31</v>
      </c>
    </row>
    <row r="197" spans="1:3" x14ac:dyDescent="0.25">
      <c r="A197" s="1">
        <v>42461</v>
      </c>
      <c r="B197">
        <v>101.31</v>
      </c>
      <c r="C197">
        <v>98.09</v>
      </c>
    </row>
    <row r="198" spans="1:3" x14ac:dyDescent="0.25">
      <c r="A198" s="1">
        <v>42491</v>
      </c>
      <c r="B198">
        <v>102</v>
      </c>
      <c r="C198">
        <v>100.01</v>
      </c>
    </row>
    <row r="199" spans="1:3" x14ac:dyDescent="0.25">
      <c r="A199" s="1">
        <v>42522</v>
      </c>
      <c r="B199">
        <v>102.71</v>
      </c>
      <c r="C199">
        <v>104.01</v>
      </c>
    </row>
    <row r="200" spans="1:3" x14ac:dyDescent="0.25">
      <c r="A200" s="1">
        <v>42552</v>
      </c>
      <c r="B200">
        <v>104.92</v>
      </c>
      <c r="C200">
        <v>104.13</v>
      </c>
    </row>
    <row r="201" spans="1:3" x14ac:dyDescent="0.25">
      <c r="A201" s="1">
        <v>42583</v>
      </c>
      <c r="B201">
        <v>105.6</v>
      </c>
      <c r="C201">
        <v>103.93</v>
      </c>
    </row>
    <row r="202" spans="1:3" x14ac:dyDescent="0.25">
      <c r="A202" s="1">
        <v>42614</v>
      </c>
      <c r="B202">
        <v>105.35</v>
      </c>
      <c r="C202">
        <v>102.82</v>
      </c>
    </row>
    <row r="203" spans="1:3" x14ac:dyDescent="0.25">
      <c r="A203" s="1">
        <v>42644</v>
      </c>
      <c r="B203">
        <v>107.12</v>
      </c>
      <c r="C203">
        <v>103.56</v>
      </c>
    </row>
    <row r="204" spans="1:3" x14ac:dyDescent="0.25">
      <c r="A204" s="1">
        <v>42675</v>
      </c>
      <c r="B204">
        <v>108.27</v>
      </c>
      <c r="C204">
        <v>104.17</v>
      </c>
    </row>
    <row r="205" spans="1:3" x14ac:dyDescent="0.25">
      <c r="A205" s="1">
        <v>42705</v>
      </c>
      <c r="B205">
        <v>109.45</v>
      </c>
      <c r="C205">
        <v>105.24</v>
      </c>
    </row>
    <row r="206" spans="1:3" x14ac:dyDescent="0.25">
      <c r="A206" s="1">
        <v>42736</v>
      </c>
      <c r="B206">
        <v>111.34</v>
      </c>
      <c r="C206">
        <v>105.82</v>
      </c>
    </row>
    <row r="207" spans="1:3" x14ac:dyDescent="0.25">
      <c r="A207" s="1">
        <v>42767</v>
      </c>
      <c r="B207">
        <v>113.56</v>
      </c>
      <c r="C207">
        <v>107.63</v>
      </c>
    </row>
    <row r="208" spans="1:3" x14ac:dyDescent="0.25">
      <c r="A208" s="1">
        <v>42795</v>
      </c>
      <c r="B208">
        <v>116.17</v>
      </c>
      <c r="C208">
        <v>107.66</v>
      </c>
    </row>
    <row r="209" spans="1:3" x14ac:dyDescent="0.25">
      <c r="A209" s="1">
        <v>42826</v>
      </c>
      <c r="B209">
        <v>118.5</v>
      </c>
      <c r="C209">
        <v>106.51</v>
      </c>
    </row>
    <row r="210" spans="1:3" x14ac:dyDescent="0.25">
      <c r="A210" s="1">
        <v>42856</v>
      </c>
      <c r="B210">
        <v>116.89</v>
      </c>
      <c r="C210">
        <v>108.32</v>
      </c>
    </row>
    <row r="211" spans="1:3" x14ac:dyDescent="0.25">
      <c r="A211" s="1">
        <v>42887</v>
      </c>
      <c r="B211">
        <v>116.05</v>
      </c>
      <c r="C211">
        <v>110.89</v>
      </c>
    </row>
    <row r="212" spans="1:3" x14ac:dyDescent="0.25">
      <c r="A212" s="1">
        <v>42917</v>
      </c>
      <c r="B212">
        <v>116.43</v>
      </c>
      <c r="C212">
        <v>110.65</v>
      </c>
    </row>
    <row r="213" spans="1:3" x14ac:dyDescent="0.25">
      <c r="A213" s="1">
        <v>42948</v>
      </c>
      <c r="B213">
        <v>117.32</v>
      </c>
      <c r="C213">
        <v>108.96</v>
      </c>
    </row>
    <row r="214" spans="1:3" x14ac:dyDescent="0.25">
      <c r="A214" s="1">
        <v>42979</v>
      </c>
      <c r="B214">
        <v>117.38</v>
      </c>
      <c r="C214">
        <v>108.08</v>
      </c>
    </row>
    <row r="215" spans="1:3" x14ac:dyDescent="0.25">
      <c r="A215" s="1">
        <v>43009</v>
      </c>
      <c r="B215">
        <v>117.45</v>
      </c>
      <c r="C215">
        <v>110.2</v>
      </c>
    </row>
    <row r="216" spans="1:3" x14ac:dyDescent="0.25">
      <c r="A216" s="1">
        <v>43040</v>
      </c>
      <c r="B216">
        <v>116.43</v>
      </c>
      <c r="C216">
        <v>107.47</v>
      </c>
    </row>
    <row r="217" spans="1:3" x14ac:dyDescent="0.25">
      <c r="A217" s="1">
        <v>43070</v>
      </c>
      <c r="B217">
        <v>116.45</v>
      </c>
      <c r="C217">
        <v>107.12</v>
      </c>
    </row>
    <row r="218" spans="1:3" x14ac:dyDescent="0.25">
      <c r="A218" s="1">
        <v>43101</v>
      </c>
      <c r="B218">
        <v>117.08</v>
      </c>
      <c r="C218">
        <v>109.35</v>
      </c>
    </row>
    <row r="219" spans="1:3" x14ac:dyDescent="0.25">
      <c r="A219" s="1">
        <v>43132</v>
      </c>
      <c r="B219">
        <v>117.17</v>
      </c>
      <c r="C219">
        <v>107.82</v>
      </c>
    </row>
    <row r="220" spans="1:3" x14ac:dyDescent="0.25">
      <c r="A220" s="1">
        <v>43160</v>
      </c>
      <c r="B220">
        <v>116.76</v>
      </c>
      <c r="C220">
        <v>105.52</v>
      </c>
    </row>
    <row r="221" spans="1:3" x14ac:dyDescent="0.25">
      <c r="A221" s="1">
        <v>43191</v>
      </c>
      <c r="B221">
        <v>117.24</v>
      </c>
      <c r="C221">
        <v>106.4</v>
      </c>
    </row>
    <row r="222" spans="1:3" x14ac:dyDescent="0.25">
      <c r="A222" s="1">
        <v>43221</v>
      </c>
      <c r="B222">
        <v>115.04</v>
      </c>
      <c r="C222">
        <v>105.67</v>
      </c>
    </row>
    <row r="223" spans="1:3" x14ac:dyDescent="0.25">
      <c r="A223" s="1">
        <v>43252</v>
      </c>
      <c r="B223">
        <v>115.24</v>
      </c>
      <c r="C223">
        <v>109.1</v>
      </c>
    </row>
    <row r="224" spans="1:3" x14ac:dyDescent="0.25">
      <c r="A224" s="1">
        <v>43282</v>
      </c>
      <c r="B224">
        <v>115.17</v>
      </c>
      <c r="C224">
        <v>107.46</v>
      </c>
    </row>
    <row r="225" spans="1:3" x14ac:dyDescent="0.25">
      <c r="A225" s="1">
        <v>43313</v>
      </c>
      <c r="B225">
        <v>115.19</v>
      </c>
      <c r="C225">
        <v>104.27</v>
      </c>
    </row>
    <row r="226" spans="1:3" x14ac:dyDescent="0.25">
      <c r="A226" s="1">
        <v>43344</v>
      </c>
      <c r="B226">
        <v>115.19</v>
      </c>
      <c r="C226">
        <v>105.72</v>
      </c>
    </row>
    <row r="227" spans="1:3" x14ac:dyDescent="0.25">
      <c r="A227" s="1">
        <v>43374</v>
      </c>
      <c r="B227">
        <v>115.21</v>
      </c>
      <c r="C227">
        <v>104.69</v>
      </c>
    </row>
    <row r="228" spans="1:3" x14ac:dyDescent="0.25">
      <c r="A228" s="1">
        <v>43405</v>
      </c>
      <c r="B228">
        <v>116.18</v>
      </c>
      <c r="C228">
        <v>104.29</v>
      </c>
    </row>
    <row r="229" spans="1:3" x14ac:dyDescent="0.25">
      <c r="A229" s="1">
        <v>43435</v>
      </c>
      <c r="B229">
        <v>116.33</v>
      </c>
      <c r="C229">
        <v>105.23</v>
      </c>
    </row>
    <row r="230" spans="1:3" x14ac:dyDescent="0.25">
      <c r="A230" s="1">
        <v>43466</v>
      </c>
      <c r="B230">
        <v>116.41</v>
      </c>
      <c r="C230">
        <v>105.47</v>
      </c>
    </row>
    <row r="231" spans="1:3" x14ac:dyDescent="0.25">
      <c r="A231" s="1">
        <v>43497</v>
      </c>
      <c r="B231">
        <v>115</v>
      </c>
      <c r="C231">
        <v>103.88</v>
      </c>
    </row>
    <row r="232" spans="1:3" x14ac:dyDescent="0.25">
      <c r="A232" s="1">
        <v>43525</v>
      </c>
      <c r="B232">
        <v>115.43</v>
      </c>
      <c r="C232">
        <v>104.09</v>
      </c>
    </row>
    <row r="233" spans="1:3" x14ac:dyDescent="0.25">
      <c r="A233" s="1">
        <v>43556</v>
      </c>
      <c r="B233">
        <v>114.11</v>
      </c>
      <c r="C233">
        <v>104.7</v>
      </c>
    </row>
    <row r="234" spans="1:3" x14ac:dyDescent="0.25">
      <c r="A234" s="1">
        <v>43586</v>
      </c>
      <c r="B234">
        <v>113.68</v>
      </c>
      <c r="C234">
        <v>104.61</v>
      </c>
    </row>
    <row r="235" spans="1:3" x14ac:dyDescent="0.25">
      <c r="A235" s="1">
        <v>43617</v>
      </c>
      <c r="B235">
        <v>113.97</v>
      </c>
      <c r="C235">
        <v>104.52</v>
      </c>
    </row>
    <row r="236" spans="1:3" x14ac:dyDescent="0.25">
      <c r="A236" s="1">
        <v>43647</v>
      </c>
      <c r="B236">
        <v>113.75</v>
      </c>
      <c r="C236">
        <v>104.75</v>
      </c>
    </row>
    <row r="237" spans="1:3" x14ac:dyDescent="0.25">
      <c r="A237" s="1">
        <v>43678</v>
      </c>
      <c r="B237">
        <v>114.36</v>
      </c>
      <c r="C237">
        <v>104.19</v>
      </c>
    </row>
    <row r="238" spans="1:3" x14ac:dyDescent="0.25">
      <c r="A238" s="1">
        <v>43709</v>
      </c>
      <c r="B238">
        <v>114.42</v>
      </c>
      <c r="C238">
        <v>104.04</v>
      </c>
    </row>
    <row r="239" spans="1:3" x14ac:dyDescent="0.25">
      <c r="A239" s="1">
        <v>43739</v>
      </c>
      <c r="B239">
        <v>114.62</v>
      </c>
      <c r="C239">
        <v>104.83</v>
      </c>
    </row>
    <row r="240" spans="1:3" x14ac:dyDescent="0.25">
      <c r="A240" s="1">
        <v>43770</v>
      </c>
      <c r="B240">
        <v>114.15</v>
      </c>
      <c r="C240">
        <v>104.7</v>
      </c>
    </row>
    <row r="241" spans="1:3" x14ac:dyDescent="0.25">
      <c r="A241" s="1">
        <v>43800</v>
      </c>
      <c r="B241">
        <v>113.9</v>
      </c>
      <c r="C241">
        <v>103.14</v>
      </c>
    </row>
    <row r="242" spans="1:3" x14ac:dyDescent="0.25">
      <c r="A242" s="1">
        <v>43831</v>
      </c>
      <c r="B242">
        <v>113.69</v>
      </c>
      <c r="C242">
        <v>102.33</v>
      </c>
    </row>
    <row r="243" spans="1:3" x14ac:dyDescent="0.25">
      <c r="A243" s="1">
        <v>43862</v>
      </c>
      <c r="B243">
        <v>114.15</v>
      </c>
      <c r="C243">
        <v>103.26</v>
      </c>
    </row>
    <row r="244" spans="1:3" x14ac:dyDescent="0.25">
      <c r="A244" s="1">
        <v>43891</v>
      </c>
      <c r="B244">
        <v>113.98</v>
      </c>
      <c r="C244">
        <v>104.51</v>
      </c>
    </row>
    <row r="245" spans="1:3" x14ac:dyDescent="0.25">
      <c r="A245" s="1">
        <v>43922</v>
      </c>
      <c r="B245">
        <v>110.28</v>
      </c>
      <c r="C245">
        <v>105.47</v>
      </c>
    </row>
    <row r="246" spans="1:3" x14ac:dyDescent="0.25">
      <c r="A246" s="1">
        <v>43952</v>
      </c>
      <c r="B246">
        <v>110.85</v>
      </c>
      <c r="C246">
        <v>108.85</v>
      </c>
    </row>
    <row r="247" spans="1:3" x14ac:dyDescent="0.25">
      <c r="A247" s="1">
        <v>43983</v>
      </c>
      <c r="B247">
        <v>110.87</v>
      </c>
      <c r="C247">
        <v>106.69</v>
      </c>
    </row>
    <row r="248" spans="1:3" x14ac:dyDescent="0.25">
      <c r="A248" s="1">
        <v>44013</v>
      </c>
      <c r="B248">
        <v>112.34</v>
      </c>
      <c r="C248">
        <v>107.42</v>
      </c>
    </row>
    <row r="249" spans="1:3" x14ac:dyDescent="0.25">
      <c r="A249" s="1">
        <v>44044</v>
      </c>
      <c r="B249">
        <v>112.98</v>
      </c>
      <c r="C249">
        <v>108.12</v>
      </c>
    </row>
    <row r="250" spans="1:3" x14ac:dyDescent="0.25">
      <c r="A250" s="1">
        <v>44075</v>
      </c>
      <c r="B250">
        <v>113.2</v>
      </c>
      <c r="C250">
        <v>109.07</v>
      </c>
    </row>
    <row r="251" spans="1:3" x14ac:dyDescent="0.25">
      <c r="A251" s="1">
        <v>44105</v>
      </c>
      <c r="B251">
        <v>113.48</v>
      </c>
      <c r="C251">
        <v>110.63</v>
      </c>
    </row>
    <row r="252" spans="1:3" x14ac:dyDescent="0.25">
      <c r="A252" s="1">
        <v>44136</v>
      </c>
      <c r="B252">
        <v>114.01</v>
      </c>
      <c r="C252">
        <v>110.6</v>
      </c>
    </row>
    <row r="253" spans="1:3" x14ac:dyDescent="0.25">
      <c r="A253" s="1">
        <v>44166</v>
      </c>
      <c r="B253">
        <v>114.45</v>
      </c>
      <c r="C253">
        <v>111.11</v>
      </c>
    </row>
    <row r="254" spans="1:3" x14ac:dyDescent="0.25">
      <c r="A254" s="1">
        <v>44197</v>
      </c>
      <c r="B254">
        <v>110.52</v>
      </c>
      <c r="C254">
        <v>112.01</v>
      </c>
    </row>
    <row r="255" spans="1:3" x14ac:dyDescent="0.25">
      <c r="A255" s="1">
        <v>44228</v>
      </c>
      <c r="B255">
        <v>110.83</v>
      </c>
      <c r="C255">
        <v>114.35</v>
      </c>
    </row>
    <row r="256" spans="1:3" x14ac:dyDescent="0.25">
      <c r="A256" s="1">
        <v>44256</v>
      </c>
      <c r="B256">
        <v>114.1</v>
      </c>
      <c r="C256">
        <v>116.43</v>
      </c>
    </row>
    <row r="257" spans="1:3" x14ac:dyDescent="0.25">
      <c r="A257" s="1">
        <v>44287</v>
      </c>
      <c r="B257">
        <v>116.79</v>
      </c>
      <c r="C257">
        <v>118.81</v>
      </c>
    </row>
    <row r="258" spans="1:3" x14ac:dyDescent="0.25">
      <c r="A258" s="1">
        <v>44317</v>
      </c>
      <c r="B258">
        <v>118.18</v>
      </c>
      <c r="C258">
        <v>120.55</v>
      </c>
    </row>
    <row r="259" spans="1:3" x14ac:dyDescent="0.25">
      <c r="A259" s="1">
        <v>44348</v>
      </c>
      <c r="B259">
        <v>119.37</v>
      </c>
      <c r="C259">
        <v>122.73</v>
      </c>
    </row>
    <row r="260" spans="1:3" x14ac:dyDescent="0.25">
      <c r="A260" s="1">
        <v>44378</v>
      </c>
      <c r="B260">
        <v>120.31</v>
      </c>
      <c r="C260">
        <v>121.92</v>
      </c>
    </row>
    <row r="261" spans="1:3" x14ac:dyDescent="0.25">
      <c r="A261" s="1">
        <v>44409</v>
      </c>
      <c r="B261">
        <v>121.9</v>
      </c>
      <c r="C261">
        <v>121.58</v>
      </c>
    </row>
    <row r="262" spans="1:3" x14ac:dyDescent="0.25">
      <c r="A262" s="1">
        <v>44440</v>
      </c>
      <c r="B262">
        <v>122.54</v>
      </c>
      <c r="C262">
        <v>124.09</v>
      </c>
    </row>
    <row r="263" spans="1:3" x14ac:dyDescent="0.25">
      <c r="A263" s="1">
        <v>44470</v>
      </c>
      <c r="B263">
        <v>123.55</v>
      </c>
      <c r="C263">
        <v>125.79</v>
      </c>
    </row>
    <row r="264" spans="1:3" x14ac:dyDescent="0.25">
      <c r="A264" s="1">
        <v>44501</v>
      </c>
      <c r="B264">
        <v>124.06</v>
      </c>
      <c r="C264">
        <v>125.17</v>
      </c>
    </row>
    <row r="265" spans="1:3" x14ac:dyDescent="0.25">
      <c r="A265" s="1">
        <v>44531</v>
      </c>
      <c r="B265">
        <v>126.34</v>
      </c>
      <c r="C265">
        <v>126.61</v>
      </c>
    </row>
    <row r="266" spans="1:3" x14ac:dyDescent="0.25">
      <c r="A266" s="1">
        <v>44562</v>
      </c>
      <c r="B266">
        <v>123.92</v>
      </c>
      <c r="C266">
        <v>127.4</v>
      </c>
    </row>
    <row r="267" spans="1:3" x14ac:dyDescent="0.25">
      <c r="A267" s="1">
        <v>44593</v>
      </c>
      <c r="B267">
        <v>126.58</v>
      </c>
      <c r="C267">
        <v>129.37</v>
      </c>
    </row>
    <row r="268" spans="1:3" x14ac:dyDescent="0.25">
      <c r="A268" s="1">
        <v>44621</v>
      </c>
      <c r="B268">
        <v>130.19999999999999</v>
      </c>
      <c r="C268">
        <v>129.26</v>
      </c>
    </row>
    <row r="269" spans="1:3" x14ac:dyDescent="0.25">
      <c r="A269" s="1">
        <v>44652</v>
      </c>
      <c r="B269">
        <v>131.66</v>
      </c>
      <c r="C269">
        <v>134.69</v>
      </c>
    </row>
    <row r="270" spans="1:3" x14ac:dyDescent="0.25">
      <c r="A270" s="1">
        <v>44682</v>
      </c>
      <c r="B270">
        <v>135.02000000000001</v>
      </c>
      <c r="C270">
        <v>136.78</v>
      </c>
    </row>
    <row r="271" spans="1:3" x14ac:dyDescent="0.25">
      <c r="A271" s="1">
        <v>44713</v>
      </c>
      <c r="B271">
        <v>138.05000000000001</v>
      </c>
      <c r="C271">
        <v>140.9</v>
      </c>
    </row>
    <row r="272" spans="1:3" x14ac:dyDescent="0.25">
      <c r="A272" s="1">
        <v>44743</v>
      </c>
      <c r="B272">
        <v>139.66</v>
      </c>
      <c r="C272">
        <v>142.56</v>
      </c>
    </row>
    <row r="273" spans="1:3" x14ac:dyDescent="0.25">
      <c r="A273" s="1">
        <v>44774</v>
      </c>
      <c r="B273">
        <v>138.78</v>
      </c>
      <c r="C273">
        <v>141.16</v>
      </c>
    </row>
    <row r="274" spans="1:3" x14ac:dyDescent="0.25">
      <c r="A274" s="1">
        <v>44805</v>
      </c>
      <c r="B274">
        <v>138.79</v>
      </c>
      <c r="C274">
        <v>141.4</v>
      </c>
    </row>
    <row r="275" spans="1:3" x14ac:dyDescent="0.25">
      <c r="A275" s="1">
        <v>44835</v>
      </c>
      <c r="B275">
        <v>139.13</v>
      </c>
      <c r="C275">
        <v>140.97999999999999</v>
      </c>
    </row>
    <row r="276" spans="1:3" x14ac:dyDescent="0.25">
      <c r="A276" s="1">
        <v>44866</v>
      </c>
      <c r="B276">
        <v>138.21</v>
      </c>
      <c r="C276">
        <v>137.74</v>
      </c>
    </row>
    <row r="277" spans="1:3" x14ac:dyDescent="0.25">
      <c r="A277" s="1">
        <v>44896</v>
      </c>
      <c r="B277">
        <v>131.97</v>
      </c>
      <c r="C277">
        <v>134.96</v>
      </c>
    </row>
    <row r="278" spans="1:3" x14ac:dyDescent="0.25">
      <c r="A278" s="1">
        <v>44927</v>
      </c>
      <c r="B278">
        <v>131.13999999999999</v>
      </c>
      <c r="C278">
        <v>135.31</v>
      </c>
    </row>
    <row r="279" spans="1:3" x14ac:dyDescent="0.25">
      <c r="A279" s="1">
        <v>44958</v>
      </c>
      <c r="B279">
        <v>130.94</v>
      </c>
      <c r="C279">
        <v>133.01</v>
      </c>
    </row>
    <row r="280" spans="1:3" x14ac:dyDescent="0.25">
      <c r="A280" s="1">
        <v>44986</v>
      </c>
      <c r="B280">
        <v>131.69999999999999</v>
      </c>
      <c r="C280">
        <v>133.93</v>
      </c>
    </row>
    <row r="281" spans="1:3" x14ac:dyDescent="0.25">
      <c r="A281" s="1">
        <v>45017</v>
      </c>
      <c r="B281">
        <v>130.63</v>
      </c>
      <c r="C281">
        <v>136.77000000000001</v>
      </c>
    </row>
    <row r="282" spans="1:3" x14ac:dyDescent="0.25">
      <c r="A282" s="1">
        <v>45047</v>
      </c>
      <c r="B282">
        <v>130.77000000000001</v>
      </c>
      <c r="C282">
        <v>132.99</v>
      </c>
    </row>
    <row r="283" spans="1:3" x14ac:dyDescent="0.25">
      <c r="A283" s="1">
        <v>45078</v>
      </c>
      <c r="B283">
        <v>127.89</v>
      </c>
      <c r="C283">
        <v>128.08000000000001</v>
      </c>
    </row>
    <row r="284" spans="1:3" x14ac:dyDescent="0.25">
      <c r="A284" s="1">
        <v>45108</v>
      </c>
      <c r="B284">
        <v>127.25</v>
      </c>
      <c r="C284">
        <v>126.85</v>
      </c>
    </row>
    <row r="285" spans="1:3" x14ac:dyDescent="0.25">
      <c r="A285" s="1">
        <v>45139</v>
      </c>
      <c r="B285">
        <v>127.73</v>
      </c>
      <c r="C285">
        <v>125.88</v>
      </c>
    </row>
    <row r="286" spans="1:3" x14ac:dyDescent="0.25">
      <c r="A286" s="1">
        <v>45170</v>
      </c>
      <c r="B286">
        <v>128.38</v>
      </c>
      <c r="C286">
        <v>126.56</v>
      </c>
    </row>
    <row r="287" spans="1:3" x14ac:dyDescent="0.25">
      <c r="A287" s="1">
        <v>45200</v>
      </c>
      <c r="B287">
        <v>129.12</v>
      </c>
      <c r="C287">
        <v>126.2</v>
      </c>
    </row>
    <row r="288" spans="1:3" x14ac:dyDescent="0.25">
      <c r="A288" s="1">
        <v>45231</v>
      </c>
      <c r="B288">
        <v>128.94</v>
      </c>
      <c r="C288">
        <v>125.17</v>
      </c>
    </row>
    <row r="289" spans="1:3" x14ac:dyDescent="0.25">
      <c r="A289" s="1">
        <v>45261</v>
      </c>
      <c r="B289">
        <v>129.30000000000001</v>
      </c>
      <c r="C289">
        <v>128.13</v>
      </c>
    </row>
    <row r="290" spans="1:3" x14ac:dyDescent="0.25">
      <c r="A290" s="1">
        <v>45292</v>
      </c>
      <c r="B290">
        <v>129.15</v>
      </c>
      <c r="C290">
        <v>128.22</v>
      </c>
    </row>
    <row r="291" spans="1:3" x14ac:dyDescent="0.25">
      <c r="A291" s="1">
        <v>45323</v>
      </c>
      <c r="B291">
        <v>131.13</v>
      </c>
      <c r="C291">
        <v>128.46</v>
      </c>
    </row>
    <row r="292" spans="1:3" x14ac:dyDescent="0.25">
      <c r="A292" s="1">
        <v>45352</v>
      </c>
      <c r="B292">
        <v>129.08000000000001</v>
      </c>
      <c r="C292">
        <v>128.75</v>
      </c>
    </row>
    <row r="293" spans="1:3" x14ac:dyDescent="0.25">
      <c r="A293" s="1">
        <v>45383</v>
      </c>
      <c r="B293">
        <v>129.49</v>
      </c>
      <c r="C293">
        <v>127.75</v>
      </c>
    </row>
    <row r="294" spans="1:3" x14ac:dyDescent="0.25">
      <c r="A294" s="1">
        <v>45413</v>
      </c>
      <c r="B294">
        <v>130.76</v>
      </c>
      <c r="C294">
        <v>125.24</v>
      </c>
    </row>
    <row r="295" spans="1:3" x14ac:dyDescent="0.25">
      <c r="A295" s="1">
        <v>45444</v>
      </c>
      <c r="B295">
        <v>132.02000000000001</v>
      </c>
      <c r="C295">
        <v>123.97</v>
      </c>
    </row>
    <row r="296" spans="1:3" x14ac:dyDescent="0.25">
      <c r="A296" s="1">
        <v>45474</v>
      </c>
      <c r="B296">
        <v>132.31</v>
      </c>
      <c r="C296">
        <v>122.14</v>
      </c>
    </row>
    <row r="297" spans="1:3" x14ac:dyDescent="0.25">
      <c r="A297" s="1">
        <v>45505</v>
      </c>
      <c r="B297">
        <v>134.19</v>
      </c>
      <c r="C297">
        <v>125.35</v>
      </c>
    </row>
    <row r="298" spans="1:3" x14ac:dyDescent="0.25">
      <c r="A298" s="1">
        <v>45536</v>
      </c>
      <c r="B298">
        <v>132.02000000000001</v>
      </c>
      <c r="C298">
        <v>124.93</v>
      </c>
    </row>
    <row r="299" spans="1:3" x14ac:dyDescent="0.25">
      <c r="A299" s="1">
        <v>45566</v>
      </c>
      <c r="B299">
        <v>132.88</v>
      </c>
      <c r="C299">
        <v>123.87</v>
      </c>
    </row>
    <row r="300" spans="1:3" x14ac:dyDescent="0.25">
      <c r="A300" s="1">
        <v>45597</v>
      </c>
      <c r="B300">
        <v>134.18</v>
      </c>
      <c r="C300">
        <v>123.9</v>
      </c>
    </row>
    <row r="301" spans="1:3" x14ac:dyDescent="0.25">
      <c r="A301" s="1">
        <v>45627</v>
      </c>
      <c r="B301">
        <v>132.72</v>
      </c>
      <c r="C301">
        <v>124.25</v>
      </c>
    </row>
    <row r="302" spans="1:3" x14ac:dyDescent="0.25">
      <c r="A302" s="1">
        <v>45658</v>
      </c>
      <c r="B302">
        <v>130.66</v>
      </c>
      <c r="C302">
        <v>126.4</v>
      </c>
    </row>
    <row r="303" spans="1:3" x14ac:dyDescent="0.25">
      <c r="A303" s="1">
        <v>45689</v>
      </c>
      <c r="B303">
        <v>130.71</v>
      </c>
      <c r="C303">
        <v>125.24</v>
      </c>
    </row>
    <row r="304" spans="1:3" x14ac:dyDescent="0.25">
      <c r="A304" s="1">
        <v>45717</v>
      </c>
      <c r="B304">
        <v>130.69</v>
      </c>
      <c r="C304">
        <v>125.17</v>
      </c>
    </row>
    <row r="305" spans="1:3" x14ac:dyDescent="0.25">
      <c r="A305" s="1">
        <v>45748</v>
      </c>
      <c r="B305">
        <v>129.02000000000001</v>
      </c>
      <c r="C305">
        <v>124.09</v>
      </c>
    </row>
    <row r="306" spans="1:3" x14ac:dyDescent="0.25">
      <c r="A306" s="1">
        <v>45778</v>
      </c>
      <c r="B306">
        <v>128.19999999999999</v>
      </c>
      <c r="C306">
        <v>122.13</v>
      </c>
    </row>
    <row r="307" spans="1:3" x14ac:dyDescent="0.25">
      <c r="A307" s="1">
        <v>45809</v>
      </c>
      <c r="B307">
        <v>128.28</v>
      </c>
      <c r="C307">
        <v>123.18</v>
      </c>
    </row>
    <row r="308" spans="1:3" x14ac:dyDescent="0.25">
      <c r="A308" s="1">
        <v>45839</v>
      </c>
      <c r="B308">
        <v>128.91999999999999</v>
      </c>
      <c r="C308">
        <v>121.82</v>
      </c>
    </row>
    <row r="309" spans="1:3" x14ac:dyDescent="0.25">
      <c r="A309" s="1">
        <v>45870</v>
      </c>
      <c r="B309">
        <v>128.06</v>
      </c>
      <c r="C309">
        <v>120.78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DA80-0C7D-4F2D-94AF-19DFBAA662A3}">
  <dimension ref="A1:E28"/>
  <sheetViews>
    <sheetView tabSelected="1" workbookViewId="0">
      <selection activeCell="I25" sqref="I25"/>
    </sheetView>
  </sheetViews>
  <sheetFormatPr defaultRowHeight="15" x14ac:dyDescent="0.25"/>
  <sheetData>
    <row r="1" spans="1:5" x14ac:dyDescent="0.25">
      <c r="A1" t="s">
        <v>9</v>
      </c>
      <c r="B1" t="s">
        <v>10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2000</v>
      </c>
      <c r="C2" s="2">
        <v>3702</v>
      </c>
      <c r="D2" s="2">
        <v>4309</v>
      </c>
      <c r="E2" s="3">
        <v>199.1</v>
      </c>
    </row>
    <row r="3" spans="1:5" x14ac:dyDescent="0.25">
      <c r="A3" t="s">
        <v>6</v>
      </c>
      <c r="B3">
        <v>2001</v>
      </c>
      <c r="C3" s="2">
        <v>4559</v>
      </c>
      <c r="D3" s="2">
        <v>4721</v>
      </c>
      <c r="E3" s="3">
        <v>212.4</v>
      </c>
    </row>
    <row r="4" spans="1:5" x14ac:dyDescent="0.25">
      <c r="A4" t="s">
        <v>6</v>
      </c>
      <c r="B4">
        <v>2002</v>
      </c>
      <c r="C4" s="2">
        <v>4756</v>
      </c>
      <c r="D4" s="2">
        <v>5117</v>
      </c>
      <c r="E4" s="3">
        <v>222.6</v>
      </c>
    </row>
    <row r="5" spans="1:5" x14ac:dyDescent="0.25">
      <c r="A5" t="s">
        <v>6</v>
      </c>
      <c r="B5">
        <v>2003</v>
      </c>
      <c r="C5" s="2">
        <v>5357</v>
      </c>
      <c r="D5" s="2">
        <v>5756</v>
      </c>
      <c r="E5" s="3">
        <v>227.3</v>
      </c>
    </row>
    <row r="6" spans="1:5" x14ac:dyDescent="0.25">
      <c r="A6" t="s">
        <v>6</v>
      </c>
      <c r="B6">
        <v>2004</v>
      </c>
      <c r="C6" s="2">
        <v>5440</v>
      </c>
      <c r="D6" s="2">
        <v>5458</v>
      </c>
      <c r="E6" s="3">
        <v>234.6</v>
      </c>
    </row>
    <row r="7" spans="1:5" x14ac:dyDescent="0.25">
      <c r="A7" t="s">
        <v>6</v>
      </c>
      <c r="B7">
        <v>2005</v>
      </c>
      <c r="C7" s="2">
        <v>5374</v>
      </c>
      <c r="D7" s="2">
        <v>5472</v>
      </c>
      <c r="E7" s="3">
        <v>244.1</v>
      </c>
    </row>
    <row r="8" spans="1:5" x14ac:dyDescent="0.25">
      <c r="A8" t="s">
        <v>6</v>
      </c>
      <c r="B8">
        <v>2006</v>
      </c>
      <c r="C8" s="2">
        <v>6371</v>
      </c>
      <c r="D8" s="2">
        <v>5351</v>
      </c>
      <c r="E8" s="3">
        <v>260.60000000000002</v>
      </c>
    </row>
    <row r="9" spans="1:5" x14ac:dyDescent="0.25">
      <c r="A9" t="s">
        <v>6</v>
      </c>
      <c r="B9">
        <v>2007</v>
      </c>
      <c r="C9" s="2">
        <v>7887</v>
      </c>
      <c r="D9" s="2">
        <v>5633</v>
      </c>
      <c r="E9" s="3">
        <v>273.7</v>
      </c>
    </row>
    <row r="10" spans="1:5" x14ac:dyDescent="0.25">
      <c r="A10" t="s">
        <v>6</v>
      </c>
      <c r="B10">
        <v>2008</v>
      </c>
      <c r="C10" s="2">
        <v>8875</v>
      </c>
      <c r="D10" s="2">
        <v>7013</v>
      </c>
      <c r="E10" s="3">
        <v>307.7</v>
      </c>
    </row>
    <row r="11" spans="1:5" x14ac:dyDescent="0.25">
      <c r="A11" t="s">
        <v>6</v>
      </c>
      <c r="B11">
        <v>2009</v>
      </c>
      <c r="C11" s="2">
        <v>10085</v>
      </c>
      <c r="D11" s="2">
        <v>10429</v>
      </c>
      <c r="E11" s="3">
        <v>344.6</v>
      </c>
    </row>
    <row r="12" spans="1:5" x14ac:dyDescent="0.25">
      <c r="A12" t="s">
        <v>6</v>
      </c>
      <c r="B12">
        <v>2010</v>
      </c>
      <c r="C12" s="2">
        <v>10342</v>
      </c>
      <c r="D12" s="2">
        <v>11721</v>
      </c>
      <c r="E12" s="3">
        <v>363.2</v>
      </c>
    </row>
    <row r="13" spans="1:5" x14ac:dyDescent="0.25">
      <c r="A13" t="s">
        <v>6</v>
      </c>
      <c r="B13">
        <v>2011</v>
      </c>
      <c r="C13" s="2">
        <v>8378</v>
      </c>
      <c r="D13" s="2">
        <v>18969</v>
      </c>
      <c r="E13" s="3">
        <v>377.7</v>
      </c>
    </row>
    <row r="14" spans="1:5" x14ac:dyDescent="0.25">
      <c r="A14" t="s">
        <v>6</v>
      </c>
      <c r="B14">
        <v>2012</v>
      </c>
      <c r="C14" s="2">
        <v>7757</v>
      </c>
      <c r="D14" s="2">
        <v>15019</v>
      </c>
      <c r="E14" s="3">
        <v>397.3</v>
      </c>
    </row>
    <row r="15" spans="1:5" x14ac:dyDescent="0.25">
      <c r="A15" t="s">
        <v>6</v>
      </c>
      <c r="B15">
        <v>2013</v>
      </c>
      <c r="C15" s="2">
        <v>10450</v>
      </c>
      <c r="D15" s="2">
        <v>8974</v>
      </c>
      <c r="E15" s="3">
        <v>412.7</v>
      </c>
    </row>
    <row r="16" spans="1:5" x14ac:dyDescent="0.25">
      <c r="A16" t="s">
        <v>6</v>
      </c>
      <c r="B16">
        <v>2014</v>
      </c>
      <c r="C16" s="2">
        <v>9783</v>
      </c>
      <c r="D16" s="2">
        <v>8463</v>
      </c>
      <c r="E16" s="3">
        <v>421.1</v>
      </c>
    </row>
    <row r="17" spans="1:5" x14ac:dyDescent="0.25">
      <c r="A17" t="s">
        <v>6</v>
      </c>
      <c r="B17">
        <v>2015</v>
      </c>
      <c r="C17" s="2">
        <v>10331</v>
      </c>
      <c r="D17" s="2">
        <v>7500</v>
      </c>
      <c r="E17" s="3">
        <v>428</v>
      </c>
    </row>
    <row r="18" spans="1:5" x14ac:dyDescent="0.25">
      <c r="A18" t="s">
        <v>6</v>
      </c>
      <c r="B18">
        <v>2016</v>
      </c>
      <c r="C18" s="2">
        <v>9580</v>
      </c>
      <c r="D18" s="2">
        <v>6200</v>
      </c>
      <c r="E18" s="3">
        <v>435.3</v>
      </c>
    </row>
    <row r="19" spans="1:5" x14ac:dyDescent="0.25">
      <c r="A19" t="s">
        <v>6</v>
      </c>
      <c r="B19">
        <v>2017</v>
      </c>
      <c r="C19" s="2">
        <v>9561.7999999999993</v>
      </c>
      <c r="D19" s="2">
        <v>4405</v>
      </c>
      <c r="E19" s="3">
        <v>443</v>
      </c>
    </row>
    <row r="20" spans="1:5" x14ac:dyDescent="0.25">
      <c r="A20" t="s">
        <v>6</v>
      </c>
      <c r="B20">
        <v>2018</v>
      </c>
      <c r="C20" s="2">
        <v>10606</v>
      </c>
      <c r="D20" s="2">
        <v>3042</v>
      </c>
      <c r="E20" s="3">
        <v>454.8</v>
      </c>
    </row>
    <row r="21" spans="1:5" x14ac:dyDescent="0.25">
      <c r="A21" t="s">
        <v>6</v>
      </c>
      <c r="B21">
        <v>2019</v>
      </c>
      <c r="C21" s="2">
        <v>12338</v>
      </c>
      <c r="D21" s="2">
        <v>2818</v>
      </c>
      <c r="E21" s="3">
        <v>468.6</v>
      </c>
    </row>
    <row r="22" spans="1:5" x14ac:dyDescent="0.25">
      <c r="A22" t="s">
        <v>6</v>
      </c>
      <c r="B22">
        <v>2020</v>
      </c>
      <c r="C22" s="2">
        <v>15767</v>
      </c>
      <c r="D22" s="2">
        <v>2662</v>
      </c>
      <c r="E22" s="3">
        <v>481.9</v>
      </c>
    </row>
    <row r="23" spans="1:5" x14ac:dyDescent="0.25">
      <c r="A23" t="s">
        <v>6</v>
      </c>
      <c r="B23">
        <v>2021</v>
      </c>
      <c r="C23" s="2">
        <v>14673</v>
      </c>
      <c r="D23" s="2">
        <v>2415</v>
      </c>
      <c r="E23" s="3">
        <v>503.3</v>
      </c>
    </row>
    <row r="24" spans="1:5" x14ac:dyDescent="0.25">
      <c r="A24" t="s">
        <v>6</v>
      </c>
      <c r="B24">
        <v>2022</v>
      </c>
      <c r="C24" s="2">
        <v>15317</v>
      </c>
      <c r="D24" s="2">
        <v>2116</v>
      </c>
      <c r="E24" s="3">
        <v>545.1</v>
      </c>
    </row>
    <row r="25" spans="1:5" x14ac:dyDescent="0.25">
      <c r="A25" t="s">
        <v>6</v>
      </c>
      <c r="B25">
        <v>2023</v>
      </c>
      <c r="C25" s="2">
        <v>14661</v>
      </c>
      <c r="D25" s="2">
        <v>2053</v>
      </c>
      <c r="E25" s="3">
        <v>592.79999999999995</v>
      </c>
    </row>
    <row r="26" spans="1:5" x14ac:dyDescent="0.25">
      <c r="A26" t="s">
        <v>6</v>
      </c>
      <c r="B26">
        <v>2024</v>
      </c>
      <c r="C26" s="2">
        <v>20143</v>
      </c>
      <c r="D26" s="2">
        <v>6617</v>
      </c>
      <c r="E26" s="3">
        <v>627.5</v>
      </c>
    </row>
    <row r="27" spans="1:5" x14ac:dyDescent="0.25">
      <c r="A27" t="s">
        <v>7</v>
      </c>
      <c r="B27">
        <v>2025</v>
      </c>
      <c r="C27" s="2">
        <v>21000</v>
      </c>
      <c r="D27" s="2">
        <v>2100</v>
      </c>
      <c r="E27">
        <f>+E26*1.042</f>
        <v>653.85500000000002</v>
      </c>
    </row>
    <row r="28" spans="1:5" x14ac:dyDescent="0.25">
      <c r="A28" t="s">
        <v>8</v>
      </c>
      <c r="B28">
        <v>2026</v>
      </c>
      <c r="C28" s="2">
        <v>21000</v>
      </c>
      <c r="D28" s="2">
        <f>+D27-1300</f>
        <v>800</v>
      </c>
      <c r="E28">
        <f>+E27*1.036</f>
        <v>677.39377999999999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husnaedi</vt:lpstr>
      <vt:lpstr>barnabaetur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Viðar Ingason</dc:creator>
  <cp:lastModifiedBy>Viðar Ingason</cp:lastModifiedBy>
  <dcterms:created xsi:type="dcterms:W3CDTF">2025-09-24T14:02:26Z</dcterms:created>
  <dcterms:modified xsi:type="dcterms:W3CDTF">2025-09-24T14:29:37Z</dcterms:modified>
</cp:coreProperties>
</file>